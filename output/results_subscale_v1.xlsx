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546BFBCC-3EEB-194F-90D0-E6AD6948B0E3}" xr6:coauthVersionLast="47" xr6:coauthVersionMax="47" xr10:uidLastSave="{00000000-0000-0000-0000-000000000000}"/>
  <bookViews>
    <workbookView xWindow="-25820" yWindow="480" windowWidth="21040" windowHeight="16620" activeTab="1" xr2:uid="{00000000-000D-0000-FFFF-FFFF00000000}"/>
  </bookViews>
  <sheets>
    <sheet name="Sheet" sheetId="1" r:id="rId1"/>
    <sheet name="Neuro_Deficit_Score_Severity"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2" l="1"/>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3" i="2"/>
  <c r="H4" i="2"/>
  <c r="H5" i="2"/>
  <c r="H6" i="2"/>
  <c r="H7" i="2"/>
  <c r="H8" i="2"/>
  <c r="H10" i="2"/>
  <c r="H11" i="2"/>
  <c r="H12" i="2"/>
  <c r="H13" i="2"/>
  <c r="H16" i="2"/>
  <c r="H17" i="2"/>
  <c r="H18" i="2"/>
  <c r="H2" i="2"/>
</calcChain>
</file>

<file path=xl/sharedStrings.xml><?xml version="1.0" encoding="utf-8"?>
<sst xmlns="http://schemas.openxmlformats.org/spreadsheetml/2006/main" count="161" uniqueCount="109">
  <si>
    <t>filename</t>
  </si>
  <si>
    <t>Right_sensorimotor_score</t>
  </si>
  <si>
    <t>Left_sensorimotor_score</t>
  </si>
  <si>
    <t>Language_Production_score</t>
  </si>
  <si>
    <t>Language_Comprehension_score</t>
  </si>
  <si>
    <t>Comprehension_Behavioral_score</t>
  </si>
  <si>
    <t>neurologic_deficit_severity</t>
  </si>
  <si>
    <t>chain_of_thought</t>
  </si>
  <si>
    <t>30078-1.txt</t>
  </si>
  <si>
    <t>Normal</t>
  </si>
  <si>
    <t>The patient has a score of 0 in all five subscales of the Pediatric Stroke Outcome Measure (PSOM), which falls within the range of 0-0.5 in all subdomains. According to the PSOM severity classification system, this indicates a 'Normal' severity classification.</t>
  </si>
  <si>
    <t>30120-1.txt</t>
  </si>
  <si>
    <t>The patient has a total PSOM score of 0.5, with scores of 0 in Right sensorimotor, Language Production, Language Comprehension, and Comprehension/Behavioral subdomains, and a score of 0.5 in the Left sensorimotor subdomain. According to the PSOM severity classification system, a total score of 0-0.5 in all subdomains is classified as 'Normal'.</t>
  </si>
  <si>
    <t>30106-2.txt</t>
  </si>
  <si>
    <t>All subdomains have a score of 0, which falls within the range for a normal classification (0-0.5 in all subdomains).</t>
  </si>
  <si>
    <t>30087-2.txt</t>
  </si>
  <si>
    <t>The clinical notes do not provide specific scores for the Pediatric Stroke Outcome Measure (PSOM) subscales. Therefore, it is not possible to determine the severity of the patient's neurological deficit based on the PSOM classification system.</t>
  </si>
  <si>
    <t>30078-2.txt</t>
  </si>
  <si>
    <t>All subdomains have a score of 0, which falls within the range for a 'normal' classification (0-0.5 in all subdomains).</t>
  </si>
  <si>
    <t>30106-1.txt</t>
  </si>
  <si>
    <t>The patient has a score of 0 in all subdomains (Right sensorimotor, Left sensorimotor, Language production, Language comprehension, Cognitive/behavioral). According to the PSOM severity classification system, a total score of 0 in all subdomains indicates a 'Normal' severity classification.</t>
  </si>
  <si>
    <t>30087-1.txt</t>
  </si>
  <si>
    <t>Based on the neurological examination, the patient is alert, interactive, and has no acute distress. Cranial nerves are intact, motor skills are normal for age, tone and bulk are normal, sensation is intact, and reflexes are normal. Therefore, the scores for all subscales are 0, indicating a normal neurological status.</t>
  </si>
  <si>
    <t>30126-1.txt</t>
  </si>
  <si>
    <t>Mild</t>
  </si>
  <si>
    <t>The patient has a right sensorimotor score of 0, left sensorimotor score of 1, language production score of 0, language comprehension score of 0, and comprehension/behavioral score of 0. According to the PSOM severity classification system, a score of 1 in 1 subdomain and less than 1 in all remaining subdomains corresponds to a mild neurologic deficit severity.</t>
  </si>
  <si>
    <t>30083-1.txt</t>
  </si>
  <si>
    <t>The patient is a 10-month old male with a history of perinatal stroke and neonatal seizures. During the physical exam, the patient was alert, interactive, and had good tone and strength with no ataxia. The patient is developing well with gross motor and speech development without concern for delay. Therefore, the scores for all subscales are 0, indicating no neurological deficits, and the neurologic deficit severity is classified as Normal.</t>
  </si>
  <si>
    <t>30126-2.txt</t>
  </si>
  <si>
    <t>All subdomains have a score of 0, which falls within the range for a 'normal' classification (0-0.5 in all subdomains). Therefore, the patient's neurological deficit severity is classified as 'Normal'.</t>
  </si>
  <si>
    <t>30083-2.txt</t>
  </si>
  <si>
    <t>The PSOM score for all subdomains is 0, which falls within the range for a 'Normal' classification (0-0.5 in all subdomains).</t>
  </si>
  <si>
    <t>30084-2.txt</t>
  </si>
  <si>
    <t>The patient has a total PSOM score of 1.5, with scores of 0 in Right sensorimotor, 0 in Left sensorimotor, 0.5 in Language Production, 0.5 in Language Comprehension, and 0.5 in Comprehension/Behavioral. According to the PSOM severity classification system, a total score of 1.5 falls under the 'Mild' category, as it involves scores of 1 in 1-2 subdomains and less than 1 in all remaining subdomains.</t>
  </si>
  <si>
    <t>30086-1.txt</t>
  </si>
  <si>
    <t>The patient has a score of 0 in both right and left sensorimotor subdomains, and a score of 1 in language production, language comprehension, and comprehension/behavioral subdomains. According to the PSOM severity classification system, a score of 1 in 1-2 subdomains and less than 1 in all remaining subdomains indicates a mild severity. Therefore, the patient's neurologic deficit severity is classified as mild.</t>
  </si>
  <si>
    <t>30084-1.txt</t>
  </si>
  <si>
    <t>The patient has a total PSOM score of 1.5, with scores of 0 in Right sensorimotor, 0 in Left sensorimotor, 0.5 in Language Production, 0.5 in Language Comprehension, and 0.5 in Comprehension/Behavioral. According to the PSOM severity classification system, a total score of 1.5 falls under the 'Mild' category, as it involves 1 in 1-2 subdomains and &lt;1 in all remaining subdomains.</t>
  </si>
  <si>
    <t>30079-1.txt</t>
  </si>
  <si>
    <t>The patient has a score of 0.5 in the right sensorimotor subdomain and 0 in all other subdomains. According to the PSOM severity classification system, a score of 0-0.5 in all subdomains is classified as 'Normal.'</t>
  </si>
  <si>
    <t>30105-1.txt</t>
  </si>
  <si>
    <t>The patient has a score of 0 in all subdomains (Right sensorimotor, Left sensorimotor, Language production, Language comprehension, Cognitive/behavioral), which falls under the 'normal' classification according to the PSOM severity classification system.</t>
  </si>
  <si>
    <t>30101-1.txt</t>
  </si>
  <si>
    <t>The patient has a right sensorimotor score of 0, left sensorimotor score of 1, language production score of 0, language comprehension score of 0, and comprehension/behavioral score of 0.5. According to the PSOM severity classification system, a total score of 1.5 with 1 in 1 subdomain and less than 1 in all remaining subdomains falls under the 'Mild' severity category.</t>
  </si>
  <si>
    <t>30127-2.txt</t>
  </si>
  <si>
    <t>The patient has a total PSOM score of 2.5. The scores are: Right sensorimotor: 1, Left sensorimotor: 0.5, Language Production: 0, Language Comprehension: 0, Comprehension/Behavioral: 1. According to the PSOM severity classification system, a score of 1 in 1-2 subdomains and &lt;1 in all remaining subdomains indicates a mild severity. Therefore, the patient's neurologic deficit severity is classified as Mild.</t>
  </si>
  <si>
    <t>30118-1.txt</t>
  </si>
  <si>
    <t>The patient has a right sensorimotor score of 0, left sensorimotor score of 0, language production score of 0.5, language comprehension score of 0.5, and cognitive/behavioral score of 0. According to the PSOM severity classification system, a total score of 1 with scores less than 1 in all subdomains falls under the 'mild' category.</t>
  </si>
  <si>
    <t>30125-1.txt</t>
  </si>
  <si>
    <t>The patient has a score of 1 in the right sensorimotor subdomain and 0 in all other subdomains. According to the PSOM severity classification system, a score of 1 in 1 subdomain and less than 1 in all remaining subdomains corresponds to a 'Mild' severity.</t>
  </si>
  <si>
    <t>30103-2.txt</t>
  </si>
  <si>
    <t>All subdomains have a score of 0, which falls within the range of 0-0.5 for all subdomains, indicating a 'Normal' severity classification.</t>
  </si>
  <si>
    <t>30127-1.txt</t>
  </si>
  <si>
    <t>The patient has a right sensorimotor score of 1, left sensorimotor score of 0.5, language production score of 0, language comprehension score of 0, and comprehension/behavioral score of 1. According to the PSOM severity classification system, a mild severity is classified as 1 in 1-2 subdomains, and &lt; 1 in all remaining subdomains. Therefore, the patient's neurologic deficit severity is Mild.</t>
  </si>
  <si>
    <t>30101-2.txt</t>
  </si>
  <si>
    <t>The patient has a right sensorimotor score of 0, left sensorimotor score of 1, language production score of 0.5, language comprehension score of 0, and comprehension/behavioral score of 0.5. According to the PSOM severity classification system, a mild severity is classified as 1 in 1-2 subdomains and &lt; 1 in all remaining subdomains. Therefore, the patient's neurologic deficit severity is Mild.</t>
  </si>
  <si>
    <t>30118-2.txt</t>
  </si>
  <si>
    <t>The patient has a total PSOM score of 1, with scores of 0 in right and left sensorimotor, 0.5 in language production, 0.5 in language comprehension, and 0 in cognitive/behavioral. According to the PSOM severity classification system, a total score of 1 in 1-2 subdomains and less than 1 in all remaining subdomains indicates a mild neurologic deficit severity.</t>
  </si>
  <si>
    <t>30103-1.txt</t>
  </si>
  <si>
    <t>30125-2.txt</t>
  </si>
  <si>
    <t>The patient has a right sensorimotor score of 1 and scores of 0 in all other subdomains. According to the PSOM severity classification system, a score of 1 in 1-2 subdomains and less than 1 in all remaining subdomains corresponds to a 'Mild' severity.</t>
  </si>
  <si>
    <t>30129-2.txt</t>
  </si>
  <si>
    <t>The clinical notes do not provide specific scores for the Pediatric Stroke Outcome Measure (PSOM) subscales. Therefore, it is not possible to determine the severity of the patient's neurological deficit based on the PSOM severity classification system.</t>
  </si>
  <si>
    <t>30116-1.txt</t>
  </si>
  <si>
    <t>All subdomains have a score of 0, which falls within the range for a 'Normal' severity classification (0-0.5 in all subdomains).</t>
  </si>
  <si>
    <t>30095-2.txt</t>
  </si>
  <si>
    <t>The patient has a right sensorimotor score of 0, left sensorimotor score of 1, language production score of 0, language comprehension score of 0, and comprehension/behavioral score of 1. According to the PSOM severity classification system, a mild severity is classified as 1 in 1-2 subdomains, and &lt; 1 in all remaining subdomains. Therefore, the patient's neurologic deficit severity is Mild.</t>
  </si>
  <si>
    <t>30073-1.txt</t>
  </si>
  <si>
    <t>Moderate</t>
  </si>
  <si>
    <t>The patient has a total PSOM score of 4.5. According to the PSOM severity classification system, a score of 1 in ≥3 subdomains or 2 in 1 subdomain and &lt; 2 in all remaining subdomains indicates a moderate severity. In this case, the patient has a score of 1 in 4 subdomains and 0.5 in 1 subdomain, which fits the criteria for moderate severity.</t>
  </si>
  <si>
    <t>30129-1.txt</t>
  </si>
  <si>
    <t>30130-1.txt</t>
  </si>
  <si>
    <t>All subdomains have a score of 0, which falls within the range for a 'Normal' classification (0-0.5 in all subdomains).</t>
  </si>
  <si>
    <t>30095-1.txt</t>
  </si>
  <si>
    <t>The patient has a total PSOM score of 2, with scores of 0 in Right sensorimotor, Language Production, and Language Comprehension, and scores of 1 in Left sensorimotor and Comprehension/Behavioral. According to the PSOM severity classification system, a total score of 2 with 1 in 1-2 subdomains and &lt;1 in all remaining subdomains falls under the 'Mild' severity category.</t>
  </si>
  <si>
    <t>30091-1.txt</t>
  </si>
  <si>
    <t>The patient has a right sensorimotor score of 1, a left sensorimotor score of 1, a language production score of 0.5, a language comprehension score of 0.5, and a comprehension/behavioral score of 0.5. According to the PSOM severity classification system, a mild severity is classified as 1 in 1-2 subdomains and &lt;1 in all remaining subdomains. Therefore, the patient's neurologic deficit severity is mild.</t>
  </si>
  <si>
    <t>30112-2.txt</t>
  </si>
  <si>
    <t>The patient has a total PSOM score of 1, with 0.5 in both right and left sensorimotor subdomains, and 0 in language production, language comprehension, and comprehension/behavioral subdomains. According to the PSOM severity classification system, a score of 1 in 1-2 subdomains and less than 1 in all remaining subdomains indicates a mild neurologic deficit severity.</t>
  </si>
  <si>
    <t>30088-1.txt</t>
  </si>
  <si>
    <t>30075-1.txt</t>
  </si>
  <si>
    <t>The patient has a score of 0 in the right sensorimotor, left sensorimotor, language production, and language comprehension subdomains. The patient has a score of 1 in the comprehension/behavioral subdomain. According to the PSOM severity classification system, a score of 1 in 1-2 subdomains and less than 1 in all remaining subdomains corresponds to a 'Mild' severity classification.</t>
  </si>
  <si>
    <t>30112-1.txt</t>
  </si>
  <si>
    <t>30077-1.txt</t>
  </si>
  <si>
    <t>The patient has a score of 0 in the right sensorimotor, language production, language comprehension, and comprehension/behavioral subdomains. The left sensorimotor subdomain has a score of 1. According to the PSOM severity classification system, a score of 1 in 1-2 subdomains and less than 1 in all remaining subdomains corresponds to a 'Mild' severity classification.</t>
  </si>
  <si>
    <t>30088-2.txt</t>
  </si>
  <si>
    <t>All subdomains have a score of 0, which falls within the range for a 'Normal' classification according to the PSOM severity classification system.</t>
  </si>
  <si>
    <t>30075-2.txt</t>
  </si>
  <si>
    <t>The patient has a score of 0 in the right sensorimotor, left sensorimotor, language production, and language comprehension subdomains, and a score of 1 in the comprehension/behavioral subdomain. According to the PSOM severity classification system, a score of 1 in 1-2 subdomains and less than 1 in all remaining subdomains indicates a mild neurologic deficit severity.</t>
  </si>
  <si>
    <t>30093-1.txt</t>
  </si>
  <si>
    <t>The patient has a right sensorimotor score of 0, left sensorimotor score of 1, language production score of 0, language comprehension score of 0, and comprehension/behavioral score of 1. According to the PSOM severity classification system, a total score of 2 with 1 in 1-2 subdomains and &lt;1 in all remaining subdomains indicates a mild neurologic deficit severity.</t>
  </si>
  <si>
    <t>30096-2.txt</t>
  </si>
  <si>
    <t>The patient has a score of 0 in Right sensorimotor, Left sensorimotor, Language Production, and Language Comprehension, and a score of 0.5 in Comprehension/Behavioral. According to the PSOM severity classification system, a total score of 0-0.5 in all subdomains is classified as 'Normal.' Therefore, the patient's neurologic deficit severity is 'Normal.'</t>
  </si>
  <si>
    <t>30115-1.txt</t>
  </si>
  <si>
    <t>30128-1.txt</t>
  </si>
  <si>
    <t>The patient has the following scores: Right sensorimotor: 0.5, Left sensorimotor: 0, Language Production: 0.5, Language Comprehension: 0.5, Comprehension/Behavioral: 0. According to the PSOM severity classification system, a score of 1 in 1-2 subdomains and &lt;1 in all remaining subdomains indicates a mild severity. Therefore, the patient's neurologic deficit severity is classified as Mild.</t>
  </si>
  <si>
    <t>30094-1.txt</t>
  </si>
  <si>
    <t>30096-1.txt</t>
  </si>
  <si>
    <t>The patient has a score of 0 in Right sensorimotor, Left sensorimotor, Language Production, and Language Comprehension, and a score of 1 in Comprehension/Behavioral. According to the PSOM severity classification system, a score of 1 in 1-2 subdomains and &lt;1 in all remaining subdomains indicates a mild severity.</t>
  </si>
  <si>
    <t>30128-2.txt</t>
  </si>
  <si>
    <t>The patient has a score of 0.5 in the right sensorimotor, language production, and language comprehension subdomains, and a score of 0 in the left sensorimotor and comprehension/behavioral subdomains. According to the PSOM severity classification system, a score of 0-0.5 in all subdomains is classified as 'Normal.'</t>
  </si>
  <si>
    <t>30128-3.txt</t>
  </si>
  <si>
    <t>The patient has a right sensorimotor score of 1, left sensorimotor score of 0, language production score of 0.5, language comprehension score of 0.5, and comprehension/behavioral score of 0. According to the PSOM severity classification system, a mild severity is classified as 1 in 1-2 subdomains, and &lt; 1 in all remaining subdomains. Therefore, the patient's neurologic deficit severity is Mild.</t>
  </si>
  <si>
    <t>30092-1.txt</t>
  </si>
  <si>
    <t>The patient has a total PSOM score of 0.5, with all subdomains scoring between 0 and 0.5. According to the PSOM severity classification system, a total score of 0-0.5 in all subdomains is classified as 'Normal.'</t>
  </si>
  <si>
    <t>30089-1.txt</t>
  </si>
  <si>
    <t>All subdomains have a score of 0, which falls within the range of 0-0.5 for a normal classification.</t>
  </si>
  <si>
    <t>word text for neuro deficit score</t>
  </si>
  <si>
    <t>100%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</si>
</sst>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0" xfId="0" applyFont="1"/>
    <xf numFmtId="0" fontId="1" fillId="4" borderId="1" xfId="0" applyFont="1" applyFill="1" applyBorder="1" applyAlignment="1">
      <alignment vertical="center" wrapText="1"/>
    </xf>
    <xf numFmtId="0" fontId="0" fillId="0" borderId="0" xfId="0" applyAlignment="1">
      <alignment vertical="center" wrapText="1"/>
    </xf>
    <xf numFmtId="0" fontId="0" fillId="2" borderId="0" xfId="0" applyFill="1"/>
    <xf numFmtId="0" fontId="0" fillId="3" borderId="0" xfId="0" applyFill="1" applyAlignment="1">
      <alignment vertical="center" wrapText="1"/>
    </xf>
    <xf numFmtId="0" fontId="0" fillId="0"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
  <sheetViews>
    <sheetView tabSelected="1" workbookViewId="0">
      <selection activeCell="I2" sqref="I2:I52"/>
    </sheetView>
  </sheetViews>
  <sheetFormatPr baseColWidth="10" defaultColWidth="8.83203125" defaultRowHeight="15" x14ac:dyDescent="0.2"/>
  <sheetData>
    <row r="1" spans="1:11" ht="64" x14ac:dyDescent="0.2">
      <c r="B1" s="1" t="s">
        <v>0</v>
      </c>
      <c r="C1" s="1" t="s">
        <v>1</v>
      </c>
      <c r="D1" s="1" t="s">
        <v>2</v>
      </c>
      <c r="E1" s="1" t="s">
        <v>3</v>
      </c>
      <c r="F1" s="1" t="s">
        <v>4</v>
      </c>
      <c r="G1" s="1" t="s">
        <v>5</v>
      </c>
      <c r="H1" s="1"/>
      <c r="I1" s="3" t="s">
        <v>107</v>
      </c>
      <c r="J1" s="1" t="s">
        <v>6</v>
      </c>
      <c r="K1" s="1" t="s">
        <v>7</v>
      </c>
    </row>
    <row r="2" spans="1:11" x14ac:dyDescent="0.2">
      <c r="A2" s="1">
        <v>29</v>
      </c>
      <c r="B2" t="s">
        <v>67</v>
      </c>
      <c r="C2">
        <v>0.5</v>
      </c>
      <c r="D2">
        <v>1</v>
      </c>
      <c r="E2">
        <v>1</v>
      </c>
      <c r="F2">
        <v>1</v>
      </c>
      <c r="G2">
        <v>1</v>
      </c>
      <c r="H2">
        <f>SUM(C2:G2)</f>
        <v>4.5</v>
      </c>
      <c r="I2" s="4">
        <v>4.5</v>
      </c>
      <c r="J2" t="s">
        <v>68</v>
      </c>
      <c r="K2" t="s">
        <v>69</v>
      </c>
    </row>
    <row r="3" spans="1:11" x14ac:dyDescent="0.2">
      <c r="A3" s="1">
        <v>36</v>
      </c>
      <c r="B3" t="s">
        <v>80</v>
      </c>
      <c r="C3">
        <v>0</v>
      </c>
      <c r="D3">
        <v>0</v>
      </c>
      <c r="E3">
        <v>0</v>
      </c>
      <c r="F3">
        <v>0</v>
      </c>
      <c r="G3">
        <v>1</v>
      </c>
      <c r="H3">
        <f t="shared" ref="H3:H52" si="0">SUM(C3:G3)</f>
        <v>1</v>
      </c>
      <c r="I3" s="4">
        <v>1</v>
      </c>
      <c r="J3" t="s">
        <v>24</v>
      </c>
      <c r="K3" t="s">
        <v>81</v>
      </c>
    </row>
    <row r="4" spans="1:11" x14ac:dyDescent="0.2">
      <c r="A4" s="1">
        <v>40</v>
      </c>
      <c r="B4" t="s">
        <v>87</v>
      </c>
      <c r="C4">
        <v>0</v>
      </c>
      <c r="D4">
        <v>0</v>
      </c>
      <c r="E4">
        <v>0</v>
      </c>
      <c r="F4">
        <v>0</v>
      </c>
      <c r="G4">
        <v>1</v>
      </c>
      <c r="H4">
        <f t="shared" si="0"/>
        <v>1</v>
      </c>
      <c r="I4" s="4">
        <v>1</v>
      </c>
      <c r="J4" t="s">
        <v>24</v>
      </c>
      <c r="K4" t="s">
        <v>88</v>
      </c>
    </row>
    <row r="5" spans="1:11" x14ac:dyDescent="0.2">
      <c r="A5" s="1">
        <v>38</v>
      </c>
      <c r="B5" t="s">
        <v>83</v>
      </c>
      <c r="C5">
        <v>0</v>
      </c>
      <c r="D5">
        <v>1</v>
      </c>
      <c r="E5">
        <v>0</v>
      </c>
      <c r="F5">
        <v>0</v>
      </c>
      <c r="G5">
        <v>0</v>
      </c>
      <c r="H5">
        <f t="shared" si="0"/>
        <v>1</v>
      </c>
      <c r="I5" s="4">
        <v>1</v>
      </c>
      <c r="J5" t="s">
        <v>24</v>
      </c>
      <c r="K5" t="s">
        <v>84</v>
      </c>
    </row>
    <row r="6" spans="1:11" x14ac:dyDescent="0.2">
      <c r="A6" s="1">
        <v>0</v>
      </c>
      <c r="B6" t="s">
        <v>8</v>
      </c>
      <c r="C6">
        <v>0</v>
      </c>
      <c r="D6">
        <v>0</v>
      </c>
      <c r="E6">
        <v>0</v>
      </c>
      <c r="F6">
        <v>0</v>
      </c>
      <c r="G6">
        <v>0</v>
      </c>
      <c r="H6">
        <f t="shared" si="0"/>
        <v>0</v>
      </c>
      <c r="I6" s="4">
        <v>0</v>
      </c>
      <c r="J6" t="s">
        <v>9</v>
      </c>
      <c r="K6" t="s">
        <v>10</v>
      </c>
    </row>
    <row r="7" spans="1:11" x14ac:dyDescent="0.2">
      <c r="A7" s="1">
        <v>4</v>
      </c>
      <c r="B7" t="s">
        <v>17</v>
      </c>
      <c r="C7">
        <v>0</v>
      </c>
      <c r="D7">
        <v>0</v>
      </c>
      <c r="E7">
        <v>0</v>
      </c>
      <c r="F7">
        <v>0</v>
      </c>
      <c r="G7">
        <v>0</v>
      </c>
      <c r="H7">
        <f t="shared" si="0"/>
        <v>0</v>
      </c>
      <c r="I7" s="4">
        <v>0</v>
      </c>
      <c r="J7" t="s">
        <v>9</v>
      </c>
      <c r="K7" t="s">
        <v>18</v>
      </c>
    </row>
    <row r="8" spans="1:11" x14ac:dyDescent="0.2">
      <c r="A8" s="1">
        <v>14</v>
      </c>
      <c r="B8" t="s">
        <v>38</v>
      </c>
      <c r="C8">
        <v>0.5</v>
      </c>
      <c r="D8">
        <v>0</v>
      </c>
      <c r="E8">
        <v>0</v>
      </c>
      <c r="F8">
        <v>0</v>
      </c>
      <c r="G8">
        <v>0</v>
      </c>
      <c r="H8">
        <f t="shared" si="0"/>
        <v>0.5</v>
      </c>
      <c r="I8" s="4">
        <v>0.5</v>
      </c>
      <c r="J8" t="s">
        <v>9</v>
      </c>
      <c r="K8" t="s">
        <v>39</v>
      </c>
    </row>
    <row r="9" spans="1:11" x14ac:dyDescent="0.2">
      <c r="A9" s="1">
        <v>8</v>
      </c>
      <c r="B9" t="s">
        <v>26</v>
      </c>
      <c r="H9" s="7"/>
      <c r="I9" s="4"/>
      <c r="J9" t="s">
        <v>9</v>
      </c>
      <c r="K9" t="s">
        <v>27</v>
      </c>
    </row>
    <row r="10" spans="1:11" x14ac:dyDescent="0.2">
      <c r="A10" s="1">
        <v>10</v>
      </c>
      <c r="B10" t="s">
        <v>30</v>
      </c>
      <c r="C10">
        <v>0</v>
      </c>
      <c r="D10">
        <v>0</v>
      </c>
      <c r="E10">
        <v>0</v>
      </c>
      <c r="F10">
        <v>0</v>
      </c>
      <c r="G10">
        <v>0</v>
      </c>
      <c r="H10">
        <f t="shared" si="0"/>
        <v>0</v>
      </c>
      <c r="I10" s="4">
        <v>0</v>
      </c>
      <c r="J10" s="2" t="s">
        <v>9</v>
      </c>
      <c r="K10" t="s">
        <v>31</v>
      </c>
    </row>
    <row r="11" spans="1:11" x14ac:dyDescent="0.2">
      <c r="A11" s="1">
        <v>13</v>
      </c>
      <c r="B11" t="s">
        <v>36</v>
      </c>
      <c r="C11">
        <v>0</v>
      </c>
      <c r="D11">
        <v>0</v>
      </c>
      <c r="E11">
        <v>0.5</v>
      </c>
      <c r="F11">
        <v>0.5</v>
      </c>
      <c r="G11">
        <v>0.5</v>
      </c>
      <c r="H11">
        <f t="shared" si="0"/>
        <v>1.5</v>
      </c>
      <c r="I11" s="4">
        <v>1.5</v>
      </c>
      <c r="J11" t="s">
        <v>24</v>
      </c>
      <c r="K11" t="s">
        <v>37</v>
      </c>
    </row>
    <row r="12" spans="1:11" x14ac:dyDescent="0.2">
      <c r="A12" s="1">
        <v>11</v>
      </c>
      <c r="B12" t="s">
        <v>32</v>
      </c>
      <c r="C12">
        <v>0</v>
      </c>
      <c r="D12">
        <v>0</v>
      </c>
      <c r="E12">
        <v>0.5</v>
      </c>
      <c r="F12">
        <v>0.5</v>
      </c>
      <c r="G12">
        <v>0.5</v>
      </c>
      <c r="H12">
        <f t="shared" si="0"/>
        <v>1.5</v>
      </c>
      <c r="I12" s="4">
        <v>1.5</v>
      </c>
      <c r="J12" t="s">
        <v>24</v>
      </c>
      <c r="K12" t="s">
        <v>33</v>
      </c>
    </row>
    <row r="13" spans="1:11" x14ac:dyDescent="0.2">
      <c r="A13" s="1">
        <v>12</v>
      </c>
      <c r="B13" t="s">
        <v>34</v>
      </c>
      <c r="C13">
        <v>0</v>
      </c>
      <c r="D13">
        <v>0</v>
      </c>
      <c r="E13">
        <v>1</v>
      </c>
      <c r="F13">
        <v>1</v>
      </c>
      <c r="G13">
        <v>1</v>
      </c>
      <c r="H13">
        <f t="shared" si="0"/>
        <v>3</v>
      </c>
      <c r="I13" s="4">
        <v>3</v>
      </c>
      <c r="J13" t="s">
        <v>24</v>
      </c>
      <c r="K13" t="s">
        <v>35</v>
      </c>
    </row>
    <row r="14" spans="1:11" x14ac:dyDescent="0.2">
      <c r="A14" s="1">
        <v>6</v>
      </c>
      <c r="B14" t="s">
        <v>21</v>
      </c>
      <c r="H14" s="8"/>
      <c r="I14" s="4"/>
      <c r="J14" t="s">
        <v>9</v>
      </c>
      <c r="K14" t="s">
        <v>22</v>
      </c>
    </row>
    <row r="15" spans="1:11" x14ac:dyDescent="0.2">
      <c r="A15" s="1">
        <v>3</v>
      </c>
      <c r="B15" t="s">
        <v>15</v>
      </c>
      <c r="I15" s="4"/>
      <c r="K15" t="s">
        <v>16</v>
      </c>
    </row>
    <row r="16" spans="1:11" x14ac:dyDescent="0.2">
      <c r="A16" s="1">
        <v>35</v>
      </c>
      <c r="B16" t="s">
        <v>79</v>
      </c>
      <c r="C16">
        <v>0</v>
      </c>
      <c r="D16">
        <v>0</v>
      </c>
      <c r="E16">
        <v>0</v>
      </c>
      <c r="F16">
        <v>0</v>
      </c>
      <c r="G16">
        <v>0</v>
      </c>
      <c r="H16">
        <f t="shared" si="0"/>
        <v>0</v>
      </c>
      <c r="I16" s="4">
        <v>0</v>
      </c>
      <c r="J16" t="s">
        <v>9</v>
      </c>
      <c r="K16" t="s">
        <v>64</v>
      </c>
    </row>
    <row r="17" spans="1:11" x14ac:dyDescent="0.2">
      <c r="A17" s="1">
        <v>39</v>
      </c>
      <c r="B17" t="s">
        <v>85</v>
      </c>
      <c r="C17">
        <v>0</v>
      </c>
      <c r="D17">
        <v>0</v>
      </c>
      <c r="E17">
        <v>0</v>
      </c>
      <c r="F17">
        <v>0</v>
      </c>
      <c r="G17">
        <v>0</v>
      </c>
      <c r="H17">
        <f t="shared" si="0"/>
        <v>0</v>
      </c>
      <c r="I17" s="4">
        <v>0</v>
      </c>
      <c r="J17" t="s">
        <v>9</v>
      </c>
      <c r="K17" t="s">
        <v>86</v>
      </c>
    </row>
    <row r="18" spans="1:11" x14ac:dyDescent="0.2">
      <c r="A18" s="1">
        <v>50</v>
      </c>
      <c r="B18" t="s">
        <v>105</v>
      </c>
      <c r="C18">
        <v>0</v>
      </c>
      <c r="D18">
        <v>0</v>
      </c>
      <c r="E18">
        <v>0</v>
      </c>
      <c r="F18">
        <v>0</v>
      </c>
      <c r="G18">
        <v>0</v>
      </c>
      <c r="H18">
        <f t="shared" si="0"/>
        <v>0</v>
      </c>
      <c r="I18" s="4">
        <v>0</v>
      </c>
      <c r="J18" t="s">
        <v>9</v>
      </c>
      <c r="K18" t="s">
        <v>106</v>
      </c>
    </row>
    <row r="19" spans="1:11" x14ac:dyDescent="0.2">
      <c r="A19" s="1">
        <v>33</v>
      </c>
      <c r="B19" t="s">
        <v>75</v>
      </c>
      <c r="C19">
        <v>1</v>
      </c>
      <c r="D19">
        <v>1</v>
      </c>
      <c r="E19">
        <v>0.5</v>
      </c>
      <c r="F19">
        <v>0.5</v>
      </c>
      <c r="G19">
        <v>0.5</v>
      </c>
      <c r="H19">
        <f t="shared" si="0"/>
        <v>3.5</v>
      </c>
      <c r="I19" s="4">
        <v>3.5</v>
      </c>
      <c r="J19" t="s">
        <v>24</v>
      </c>
      <c r="K19" t="s">
        <v>76</v>
      </c>
    </row>
    <row r="20" spans="1:11" x14ac:dyDescent="0.2">
      <c r="A20" s="1">
        <v>49</v>
      </c>
      <c r="B20" t="s">
        <v>103</v>
      </c>
      <c r="C20">
        <v>0</v>
      </c>
      <c r="D20">
        <v>0</v>
      </c>
      <c r="E20">
        <v>0</v>
      </c>
      <c r="F20">
        <v>0</v>
      </c>
      <c r="G20">
        <v>0.5</v>
      </c>
      <c r="H20">
        <f t="shared" si="0"/>
        <v>0.5</v>
      </c>
      <c r="I20" s="4">
        <v>0.5</v>
      </c>
      <c r="J20" t="s">
        <v>9</v>
      </c>
      <c r="K20" t="s">
        <v>104</v>
      </c>
    </row>
    <row r="21" spans="1:11" x14ac:dyDescent="0.2">
      <c r="A21" s="1">
        <v>41</v>
      </c>
      <c r="B21" t="s">
        <v>89</v>
      </c>
      <c r="C21">
        <v>0</v>
      </c>
      <c r="D21">
        <v>1</v>
      </c>
      <c r="E21">
        <v>0</v>
      </c>
      <c r="F21">
        <v>0</v>
      </c>
      <c r="G21">
        <v>1</v>
      </c>
      <c r="H21">
        <f t="shared" si="0"/>
        <v>2</v>
      </c>
      <c r="I21" s="4">
        <v>2</v>
      </c>
      <c r="J21" t="s">
        <v>24</v>
      </c>
      <c r="K21" t="s">
        <v>90</v>
      </c>
    </row>
    <row r="22" spans="1:11" x14ac:dyDescent="0.2">
      <c r="A22" s="1">
        <v>45</v>
      </c>
      <c r="B22" t="s">
        <v>96</v>
      </c>
      <c r="C22">
        <v>0</v>
      </c>
      <c r="D22">
        <v>0</v>
      </c>
      <c r="E22">
        <v>0</v>
      </c>
      <c r="F22">
        <v>0</v>
      </c>
      <c r="G22">
        <v>0</v>
      </c>
      <c r="H22">
        <f t="shared" si="0"/>
        <v>0</v>
      </c>
      <c r="I22" s="4">
        <v>0</v>
      </c>
      <c r="J22" t="s">
        <v>9</v>
      </c>
      <c r="K22" t="s">
        <v>51</v>
      </c>
    </row>
    <row r="23" spans="1:11" x14ac:dyDescent="0.2">
      <c r="A23" s="1">
        <v>32</v>
      </c>
      <c r="B23" t="s">
        <v>73</v>
      </c>
      <c r="C23">
        <v>0</v>
      </c>
      <c r="D23">
        <v>1</v>
      </c>
      <c r="E23">
        <v>0</v>
      </c>
      <c r="F23">
        <v>0</v>
      </c>
      <c r="G23">
        <v>1</v>
      </c>
      <c r="H23">
        <f t="shared" si="0"/>
        <v>2</v>
      </c>
      <c r="I23" s="4">
        <v>2</v>
      </c>
      <c r="J23" t="s">
        <v>24</v>
      </c>
      <c r="K23" t="s">
        <v>74</v>
      </c>
    </row>
    <row r="24" spans="1:11" x14ac:dyDescent="0.2">
      <c r="A24" s="1">
        <v>28</v>
      </c>
      <c r="B24" t="s">
        <v>65</v>
      </c>
      <c r="C24">
        <v>0</v>
      </c>
      <c r="D24">
        <v>1</v>
      </c>
      <c r="E24">
        <v>0</v>
      </c>
      <c r="F24">
        <v>0</v>
      </c>
      <c r="G24">
        <v>1</v>
      </c>
      <c r="H24" s="5">
        <f t="shared" si="0"/>
        <v>2</v>
      </c>
      <c r="I24" s="6">
        <v>1.5</v>
      </c>
      <c r="J24" t="s">
        <v>24</v>
      </c>
      <c r="K24" t="s">
        <v>66</v>
      </c>
    </row>
    <row r="25" spans="1:11" x14ac:dyDescent="0.2">
      <c r="A25" s="1">
        <v>46</v>
      </c>
      <c r="B25" t="s">
        <v>97</v>
      </c>
      <c r="C25">
        <v>0</v>
      </c>
      <c r="D25">
        <v>0</v>
      </c>
      <c r="E25">
        <v>0</v>
      </c>
      <c r="F25">
        <v>0</v>
      </c>
      <c r="G25">
        <v>1</v>
      </c>
      <c r="H25">
        <f t="shared" si="0"/>
        <v>1</v>
      </c>
      <c r="I25" s="4">
        <v>1</v>
      </c>
      <c r="J25" t="s">
        <v>24</v>
      </c>
      <c r="K25" t="s">
        <v>98</v>
      </c>
    </row>
    <row r="26" spans="1:11" x14ac:dyDescent="0.2">
      <c r="A26" s="1">
        <v>42</v>
      </c>
      <c r="B26" t="s">
        <v>91</v>
      </c>
      <c r="C26">
        <v>0</v>
      </c>
      <c r="D26">
        <v>0</v>
      </c>
      <c r="E26">
        <v>0</v>
      </c>
      <c r="F26">
        <v>0</v>
      </c>
      <c r="G26">
        <v>0.5</v>
      </c>
      <c r="H26">
        <f t="shared" si="0"/>
        <v>0.5</v>
      </c>
      <c r="I26" s="4">
        <v>0.5</v>
      </c>
      <c r="J26" t="s">
        <v>9</v>
      </c>
      <c r="K26" t="s">
        <v>92</v>
      </c>
    </row>
    <row r="27" spans="1:11" x14ac:dyDescent="0.2">
      <c r="A27" s="1">
        <v>16</v>
      </c>
      <c r="B27" t="s">
        <v>42</v>
      </c>
      <c r="C27">
        <v>0</v>
      </c>
      <c r="D27">
        <v>1</v>
      </c>
      <c r="E27">
        <v>0</v>
      </c>
      <c r="F27">
        <v>0</v>
      </c>
      <c r="G27">
        <v>0.5</v>
      </c>
      <c r="H27">
        <f t="shared" si="0"/>
        <v>1.5</v>
      </c>
      <c r="I27" s="4">
        <v>1.5</v>
      </c>
      <c r="J27" t="s">
        <v>24</v>
      </c>
      <c r="K27" t="s">
        <v>43</v>
      </c>
    </row>
    <row r="28" spans="1:11" x14ac:dyDescent="0.2">
      <c r="A28" s="1">
        <v>22</v>
      </c>
      <c r="B28" t="s">
        <v>54</v>
      </c>
      <c r="C28">
        <v>0</v>
      </c>
      <c r="D28">
        <v>1</v>
      </c>
      <c r="E28">
        <v>0.5</v>
      </c>
      <c r="F28">
        <v>0</v>
      </c>
      <c r="G28">
        <v>0.5</v>
      </c>
      <c r="H28">
        <f t="shared" si="0"/>
        <v>2</v>
      </c>
      <c r="I28" s="4">
        <v>2</v>
      </c>
      <c r="J28" t="s">
        <v>24</v>
      </c>
      <c r="K28" t="s">
        <v>55</v>
      </c>
    </row>
    <row r="29" spans="1:11" x14ac:dyDescent="0.2">
      <c r="A29" s="1">
        <v>24</v>
      </c>
      <c r="B29" t="s">
        <v>58</v>
      </c>
      <c r="C29">
        <v>0</v>
      </c>
      <c r="D29">
        <v>0</v>
      </c>
      <c r="E29">
        <v>0</v>
      </c>
      <c r="F29">
        <v>0</v>
      </c>
      <c r="G29">
        <v>0</v>
      </c>
      <c r="H29">
        <f t="shared" si="0"/>
        <v>0</v>
      </c>
      <c r="I29" s="4">
        <v>0</v>
      </c>
      <c r="J29" t="s">
        <v>9</v>
      </c>
      <c r="K29" t="s">
        <v>51</v>
      </c>
    </row>
    <row r="30" spans="1:11" x14ac:dyDescent="0.2">
      <c r="A30" s="1">
        <v>20</v>
      </c>
      <c r="B30" t="s">
        <v>50</v>
      </c>
      <c r="C30">
        <v>0</v>
      </c>
      <c r="D30">
        <v>0</v>
      </c>
      <c r="E30">
        <v>0</v>
      </c>
      <c r="F30">
        <v>0</v>
      </c>
      <c r="G30">
        <v>0</v>
      </c>
      <c r="H30">
        <f t="shared" si="0"/>
        <v>0</v>
      </c>
      <c r="I30" s="4">
        <v>0</v>
      </c>
      <c r="J30" t="s">
        <v>9</v>
      </c>
      <c r="K30" t="s">
        <v>51</v>
      </c>
    </row>
    <row r="31" spans="1:11" x14ac:dyDescent="0.2">
      <c r="A31" s="1">
        <v>15</v>
      </c>
      <c r="B31" t="s">
        <v>40</v>
      </c>
      <c r="C31">
        <v>0</v>
      </c>
      <c r="D31">
        <v>0</v>
      </c>
      <c r="E31">
        <v>0</v>
      </c>
      <c r="F31">
        <v>0</v>
      </c>
      <c r="G31">
        <v>0</v>
      </c>
      <c r="H31">
        <f t="shared" si="0"/>
        <v>0</v>
      </c>
      <c r="I31" s="4">
        <v>0</v>
      </c>
      <c r="J31" t="s">
        <v>9</v>
      </c>
      <c r="K31" t="s">
        <v>41</v>
      </c>
    </row>
    <row r="32" spans="1:11" x14ac:dyDescent="0.2">
      <c r="A32" s="1">
        <v>5</v>
      </c>
      <c r="B32" t="s">
        <v>19</v>
      </c>
      <c r="C32">
        <v>0</v>
      </c>
      <c r="D32">
        <v>0</v>
      </c>
      <c r="E32">
        <v>0</v>
      </c>
      <c r="F32">
        <v>0</v>
      </c>
      <c r="G32">
        <v>0</v>
      </c>
      <c r="H32">
        <f t="shared" si="0"/>
        <v>0</v>
      </c>
      <c r="I32" s="4">
        <v>0</v>
      </c>
      <c r="J32" t="s">
        <v>9</v>
      </c>
      <c r="K32" t="s">
        <v>20</v>
      </c>
    </row>
    <row r="33" spans="1:11" x14ac:dyDescent="0.2">
      <c r="A33" s="1">
        <v>2</v>
      </c>
      <c r="B33" t="s">
        <v>13</v>
      </c>
      <c r="C33">
        <v>0</v>
      </c>
      <c r="D33">
        <v>0</v>
      </c>
      <c r="E33">
        <v>0</v>
      </c>
      <c r="F33">
        <v>0</v>
      </c>
      <c r="G33">
        <v>0</v>
      </c>
      <c r="H33">
        <f t="shared" si="0"/>
        <v>0</v>
      </c>
      <c r="I33" s="4">
        <v>0</v>
      </c>
      <c r="J33" t="s">
        <v>9</v>
      </c>
      <c r="K33" t="s">
        <v>14</v>
      </c>
    </row>
    <row r="34" spans="1:11" x14ac:dyDescent="0.2">
      <c r="A34" s="1">
        <v>37</v>
      </c>
      <c r="B34" t="s">
        <v>82</v>
      </c>
      <c r="C34">
        <v>0</v>
      </c>
      <c r="D34">
        <v>0</v>
      </c>
      <c r="E34">
        <v>0</v>
      </c>
      <c r="F34">
        <v>0</v>
      </c>
      <c r="G34">
        <v>0</v>
      </c>
      <c r="H34">
        <f t="shared" si="0"/>
        <v>0</v>
      </c>
      <c r="I34" s="4">
        <v>0</v>
      </c>
      <c r="J34" t="s">
        <v>9</v>
      </c>
      <c r="K34" t="s">
        <v>72</v>
      </c>
    </row>
    <row r="35" spans="1:11" x14ac:dyDescent="0.2">
      <c r="A35" s="1">
        <v>34</v>
      </c>
      <c r="B35" t="s">
        <v>77</v>
      </c>
      <c r="C35">
        <v>0.5</v>
      </c>
      <c r="D35">
        <v>0.5</v>
      </c>
      <c r="E35">
        <v>0</v>
      </c>
      <c r="F35">
        <v>0</v>
      </c>
      <c r="G35">
        <v>0</v>
      </c>
      <c r="H35">
        <f t="shared" si="0"/>
        <v>1</v>
      </c>
      <c r="I35" s="4">
        <v>1</v>
      </c>
      <c r="J35" t="s">
        <v>24</v>
      </c>
      <c r="K35" t="s">
        <v>78</v>
      </c>
    </row>
    <row r="36" spans="1:11" x14ac:dyDescent="0.2">
      <c r="A36" s="1">
        <v>43</v>
      </c>
      <c r="B36" t="s">
        <v>93</v>
      </c>
      <c r="C36">
        <v>0</v>
      </c>
      <c r="D36">
        <v>0</v>
      </c>
      <c r="E36">
        <v>0</v>
      </c>
      <c r="F36">
        <v>0</v>
      </c>
      <c r="G36">
        <v>0</v>
      </c>
      <c r="H36">
        <f t="shared" si="0"/>
        <v>0</v>
      </c>
      <c r="I36" s="4">
        <v>0</v>
      </c>
      <c r="J36" t="s">
        <v>9</v>
      </c>
      <c r="K36" t="s">
        <v>72</v>
      </c>
    </row>
    <row r="37" spans="1:11" x14ac:dyDescent="0.2">
      <c r="A37" s="1">
        <v>27</v>
      </c>
      <c r="B37" t="s">
        <v>63</v>
      </c>
      <c r="C37">
        <v>0</v>
      </c>
      <c r="D37">
        <v>0</v>
      </c>
      <c r="E37">
        <v>0</v>
      </c>
      <c r="F37">
        <v>0</v>
      </c>
      <c r="G37">
        <v>0</v>
      </c>
      <c r="H37">
        <f t="shared" si="0"/>
        <v>0</v>
      </c>
      <c r="I37" s="4">
        <v>0</v>
      </c>
      <c r="J37" t="s">
        <v>9</v>
      </c>
      <c r="K37" t="s">
        <v>64</v>
      </c>
    </row>
    <row r="38" spans="1:11" x14ac:dyDescent="0.2">
      <c r="A38" s="1">
        <v>18</v>
      </c>
      <c r="B38" t="s">
        <v>46</v>
      </c>
      <c r="C38">
        <v>0</v>
      </c>
      <c r="D38">
        <v>0</v>
      </c>
      <c r="E38">
        <v>0.5</v>
      </c>
      <c r="F38">
        <v>0.5</v>
      </c>
      <c r="G38">
        <v>0</v>
      </c>
      <c r="H38">
        <f t="shared" si="0"/>
        <v>1</v>
      </c>
      <c r="I38" s="4">
        <v>1</v>
      </c>
      <c r="J38" t="s">
        <v>24</v>
      </c>
      <c r="K38" t="s">
        <v>47</v>
      </c>
    </row>
    <row r="39" spans="1:11" x14ac:dyDescent="0.2">
      <c r="A39" s="1">
        <v>23</v>
      </c>
      <c r="B39" t="s">
        <v>56</v>
      </c>
      <c r="C39">
        <v>0</v>
      </c>
      <c r="D39">
        <v>0</v>
      </c>
      <c r="E39">
        <v>0.5</v>
      </c>
      <c r="F39">
        <v>0.5</v>
      </c>
      <c r="G39">
        <v>0</v>
      </c>
      <c r="H39">
        <f t="shared" si="0"/>
        <v>1</v>
      </c>
      <c r="I39" s="4">
        <v>1</v>
      </c>
      <c r="J39" t="s">
        <v>24</v>
      </c>
      <c r="K39" t="s">
        <v>57</v>
      </c>
    </row>
    <row r="40" spans="1:11" x14ac:dyDescent="0.2">
      <c r="A40" s="1">
        <v>1</v>
      </c>
      <c r="B40" t="s">
        <v>11</v>
      </c>
      <c r="C40">
        <v>0</v>
      </c>
      <c r="D40">
        <v>0.5</v>
      </c>
      <c r="E40">
        <v>0</v>
      </c>
      <c r="F40">
        <v>0</v>
      </c>
      <c r="G40">
        <v>0</v>
      </c>
      <c r="H40">
        <f t="shared" si="0"/>
        <v>0.5</v>
      </c>
      <c r="I40" s="4">
        <v>0.5</v>
      </c>
      <c r="J40" t="s">
        <v>9</v>
      </c>
      <c r="K40" t="s">
        <v>12</v>
      </c>
    </row>
    <row r="41" spans="1:11" x14ac:dyDescent="0.2">
      <c r="A41" s="1">
        <v>19</v>
      </c>
      <c r="B41" t="s">
        <v>48</v>
      </c>
      <c r="C41">
        <v>1</v>
      </c>
      <c r="D41">
        <v>0</v>
      </c>
      <c r="E41">
        <v>0</v>
      </c>
      <c r="F41">
        <v>0</v>
      </c>
      <c r="G41">
        <v>0</v>
      </c>
      <c r="H41">
        <f t="shared" si="0"/>
        <v>1</v>
      </c>
      <c r="I41" s="4">
        <v>1</v>
      </c>
      <c r="J41" t="s">
        <v>24</v>
      </c>
      <c r="K41" t="s">
        <v>49</v>
      </c>
    </row>
    <row r="42" spans="1:11" x14ac:dyDescent="0.2">
      <c r="A42" s="1">
        <v>25</v>
      </c>
      <c r="B42" t="s">
        <v>59</v>
      </c>
      <c r="C42">
        <v>1</v>
      </c>
      <c r="D42">
        <v>0</v>
      </c>
      <c r="E42">
        <v>0</v>
      </c>
      <c r="F42">
        <v>0</v>
      </c>
      <c r="G42">
        <v>0</v>
      </c>
      <c r="H42">
        <f t="shared" si="0"/>
        <v>1</v>
      </c>
      <c r="I42" s="4">
        <v>1</v>
      </c>
      <c r="J42" t="s">
        <v>24</v>
      </c>
      <c r="K42" t="s">
        <v>60</v>
      </c>
    </row>
    <row r="43" spans="1:11" x14ac:dyDescent="0.2">
      <c r="A43" s="1">
        <v>7</v>
      </c>
      <c r="B43" t="s">
        <v>23</v>
      </c>
      <c r="C43">
        <v>0</v>
      </c>
      <c r="D43">
        <v>1</v>
      </c>
      <c r="E43">
        <v>0</v>
      </c>
      <c r="F43">
        <v>0</v>
      </c>
      <c r="G43">
        <v>0</v>
      </c>
      <c r="H43">
        <f t="shared" si="0"/>
        <v>1</v>
      </c>
      <c r="I43" s="4">
        <v>1</v>
      </c>
      <c r="J43" t="s">
        <v>24</v>
      </c>
      <c r="K43" t="s">
        <v>25</v>
      </c>
    </row>
    <row r="44" spans="1:11" x14ac:dyDescent="0.2">
      <c r="A44" s="1">
        <v>9</v>
      </c>
      <c r="B44" t="s">
        <v>28</v>
      </c>
      <c r="C44">
        <v>0</v>
      </c>
      <c r="D44">
        <v>0</v>
      </c>
      <c r="E44">
        <v>0</v>
      </c>
      <c r="F44">
        <v>0</v>
      </c>
      <c r="G44">
        <v>0</v>
      </c>
      <c r="H44">
        <f t="shared" si="0"/>
        <v>0</v>
      </c>
      <c r="I44" s="4">
        <v>0</v>
      </c>
      <c r="J44" t="s">
        <v>9</v>
      </c>
      <c r="K44" t="s">
        <v>29</v>
      </c>
    </row>
    <row r="45" spans="1:11" x14ac:dyDescent="0.2">
      <c r="A45" s="1">
        <v>21</v>
      </c>
      <c r="B45" t="s">
        <v>52</v>
      </c>
      <c r="C45">
        <v>1</v>
      </c>
      <c r="D45">
        <v>0.5</v>
      </c>
      <c r="E45">
        <v>0</v>
      </c>
      <c r="F45">
        <v>0</v>
      </c>
      <c r="G45">
        <v>1</v>
      </c>
      <c r="H45">
        <f t="shared" si="0"/>
        <v>2.5</v>
      </c>
      <c r="I45" s="4">
        <v>2.5</v>
      </c>
      <c r="J45" t="s">
        <v>24</v>
      </c>
      <c r="K45" t="s">
        <v>53</v>
      </c>
    </row>
    <row r="46" spans="1:11" x14ac:dyDescent="0.2">
      <c r="A46" s="1">
        <v>17</v>
      </c>
      <c r="B46" t="s">
        <v>44</v>
      </c>
      <c r="C46">
        <v>1</v>
      </c>
      <c r="D46">
        <v>0.5</v>
      </c>
      <c r="E46">
        <v>0</v>
      </c>
      <c r="F46">
        <v>0</v>
      </c>
      <c r="G46">
        <v>1</v>
      </c>
      <c r="H46">
        <f t="shared" si="0"/>
        <v>2.5</v>
      </c>
      <c r="I46" s="4">
        <v>2.5</v>
      </c>
      <c r="J46" t="s">
        <v>24</v>
      </c>
      <c r="K46" t="s">
        <v>45</v>
      </c>
    </row>
    <row r="47" spans="1:11" x14ac:dyDescent="0.2">
      <c r="A47" s="1">
        <v>44</v>
      </c>
      <c r="B47" t="s">
        <v>94</v>
      </c>
      <c r="C47">
        <v>0.5</v>
      </c>
      <c r="D47">
        <v>0</v>
      </c>
      <c r="E47">
        <v>0.5</v>
      </c>
      <c r="F47">
        <v>0.5</v>
      </c>
      <c r="G47">
        <v>0</v>
      </c>
      <c r="H47" s="5">
        <f t="shared" si="0"/>
        <v>1.5</v>
      </c>
      <c r="I47" s="6">
        <v>2</v>
      </c>
      <c r="J47" t="s">
        <v>24</v>
      </c>
      <c r="K47" t="s">
        <v>95</v>
      </c>
    </row>
    <row r="48" spans="1:11" x14ac:dyDescent="0.2">
      <c r="A48" s="1">
        <v>47</v>
      </c>
      <c r="B48" t="s">
        <v>99</v>
      </c>
      <c r="C48">
        <v>0.5</v>
      </c>
      <c r="D48">
        <v>0</v>
      </c>
      <c r="E48">
        <v>0.5</v>
      </c>
      <c r="F48">
        <v>0.5</v>
      </c>
      <c r="G48">
        <v>0</v>
      </c>
      <c r="H48" s="5">
        <f t="shared" si="0"/>
        <v>1.5</v>
      </c>
      <c r="I48" s="6">
        <v>2</v>
      </c>
      <c r="J48" t="s">
        <v>9</v>
      </c>
      <c r="K48" t="s">
        <v>100</v>
      </c>
    </row>
    <row r="49" spans="1:11" x14ac:dyDescent="0.2">
      <c r="A49" s="1">
        <v>48</v>
      </c>
      <c r="B49" t="s">
        <v>101</v>
      </c>
      <c r="C49">
        <v>1</v>
      </c>
      <c r="D49">
        <v>0</v>
      </c>
      <c r="E49">
        <v>0.5</v>
      </c>
      <c r="F49">
        <v>0.5</v>
      </c>
      <c r="G49">
        <v>0</v>
      </c>
      <c r="H49">
        <f t="shared" si="0"/>
        <v>2</v>
      </c>
      <c r="I49" s="4">
        <v>2</v>
      </c>
      <c r="J49" t="s">
        <v>24</v>
      </c>
      <c r="K49" t="s">
        <v>102</v>
      </c>
    </row>
    <row r="50" spans="1:11" x14ac:dyDescent="0.2">
      <c r="A50" s="1">
        <v>30</v>
      </c>
      <c r="B50" t="s">
        <v>70</v>
      </c>
      <c r="C50">
        <v>1</v>
      </c>
      <c r="D50">
        <v>0</v>
      </c>
      <c r="E50">
        <v>0</v>
      </c>
      <c r="F50">
        <v>0</v>
      </c>
      <c r="G50">
        <v>0</v>
      </c>
      <c r="H50">
        <f t="shared" si="0"/>
        <v>1</v>
      </c>
      <c r="I50" s="4">
        <v>1</v>
      </c>
      <c r="J50" t="s">
        <v>24</v>
      </c>
      <c r="K50" t="s">
        <v>49</v>
      </c>
    </row>
    <row r="51" spans="1:11" x14ac:dyDescent="0.2">
      <c r="A51" s="1">
        <v>26</v>
      </c>
      <c r="B51" t="s">
        <v>61</v>
      </c>
      <c r="H51">
        <f t="shared" si="0"/>
        <v>0</v>
      </c>
      <c r="I51" s="4"/>
      <c r="K51" t="s">
        <v>62</v>
      </c>
    </row>
    <row r="52" spans="1:11" x14ac:dyDescent="0.2">
      <c r="A52" s="1">
        <v>31</v>
      </c>
      <c r="B52" t="s">
        <v>71</v>
      </c>
      <c r="C52">
        <v>0</v>
      </c>
      <c r="D52">
        <v>0</v>
      </c>
      <c r="E52">
        <v>0</v>
      </c>
      <c r="F52">
        <v>0</v>
      </c>
      <c r="G52">
        <v>0</v>
      </c>
      <c r="H52">
        <f t="shared" si="0"/>
        <v>0</v>
      </c>
      <c r="I52" s="4">
        <v>0</v>
      </c>
      <c r="J52" t="s">
        <v>9</v>
      </c>
      <c r="K52" t="s">
        <v>72</v>
      </c>
    </row>
    <row r="56" spans="1:11" x14ac:dyDescent="0.2">
      <c r="I56" t="s">
        <v>108</v>
      </c>
    </row>
  </sheetData>
  <sortState xmlns:xlrd2="http://schemas.microsoft.com/office/spreadsheetml/2017/richdata2" ref="A2:K52">
    <sortCondition ref="B1:B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Neuro_Deficit_Score_Severity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2025-02-21T17:21:36Z</dcterms:created>
  <dcterms:modified xsi:type="dcterms:W3CDTF">2025-02-24T06:06:58Z</dcterms:modified>
</cp:coreProperties>
</file>